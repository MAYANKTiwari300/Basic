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ode\CodeFolder2\"/>
    </mc:Choice>
  </mc:AlternateContent>
  <xr:revisionPtr revIDLastSave="0" documentId="13_ncr:1_{E7B2387D-242E-4D40-92C0-7943D7988822}" xr6:coauthVersionLast="47" xr6:coauthVersionMax="47" xr10:uidLastSave="{00000000-0000-0000-0000-000000000000}"/>
  <bookViews>
    <workbookView xWindow="0" yWindow="0" windowWidth="19200" windowHeight="10800" tabRatio="500" xr2:uid="{00000000-000D-0000-FFFF-FFFF00000000}"/>
  </bookViews>
  <sheets>
    <sheet name="GDP Projection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" i="1" l="1"/>
  <c r="Q5" i="1"/>
  <c r="R6" i="1" s="1"/>
  <c r="L5" i="1"/>
  <c r="J5" i="1"/>
  <c r="K6" i="1" s="1"/>
  <c r="E5" i="1"/>
  <c r="C5" i="1"/>
  <c r="D6" i="1" s="1"/>
  <c r="J6" i="1" l="1"/>
  <c r="K7" i="1" s="1"/>
  <c r="L6" i="1"/>
  <c r="S6" i="1"/>
  <c r="Q6" i="1"/>
  <c r="R7" i="1" s="1"/>
  <c r="C6" i="1"/>
  <c r="D7" i="1" s="1"/>
  <c r="E6" i="1"/>
  <c r="C7" i="1" l="1"/>
  <c r="D8" i="1" s="1"/>
  <c r="E7" i="1"/>
  <c r="S7" i="1"/>
  <c r="Q7" i="1"/>
  <c r="R8" i="1" s="1"/>
  <c r="J7" i="1"/>
  <c r="K8" i="1" s="1"/>
  <c r="L7" i="1"/>
  <c r="J8" i="1" l="1"/>
  <c r="K9" i="1" s="1"/>
  <c r="L8" i="1"/>
  <c r="Q8" i="1"/>
  <c r="R9" i="1" s="1"/>
  <c r="S8" i="1"/>
  <c r="C8" i="1"/>
  <c r="D9" i="1"/>
  <c r="E8" i="1"/>
  <c r="Q9" i="1" l="1"/>
  <c r="S9" i="1"/>
  <c r="R10" i="1"/>
  <c r="E9" i="1"/>
  <c r="C9" i="1"/>
  <c r="D10" i="1"/>
  <c r="L9" i="1"/>
  <c r="J9" i="1"/>
  <c r="K10" i="1" s="1"/>
  <c r="L10" i="1" l="1"/>
  <c r="J10" i="1"/>
  <c r="K11" i="1" s="1"/>
  <c r="C10" i="1"/>
  <c r="D11" i="1" s="1"/>
  <c r="E10" i="1"/>
  <c r="Q10" i="1"/>
  <c r="R11" i="1"/>
  <c r="S10" i="1"/>
  <c r="L11" i="1" l="1"/>
  <c r="J11" i="1"/>
  <c r="K12" i="1"/>
  <c r="S11" i="1"/>
  <c r="Q11" i="1"/>
  <c r="R12" i="1"/>
  <c r="C11" i="1"/>
  <c r="D12" i="1"/>
  <c r="E11" i="1"/>
  <c r="C12" i="1" l="1"/>
  <c r="D13" i="1" s="1"/>
  <c r="E12" i="1"/>
  <c r="Q12" i="1"/>
  <c r="R13" i="1"/>
  <c r="S12" i="1"/>
  <c r="J12" i="1"/>
  <c r="K13" i="1" s="1"/>
  <c r="L12" i="1"/>
  <c r="E13" i="1" l="1"/>
  <c r="C13" i="1"/>
  <c r="D14" i="1" s="1"/>
  <c r="Q13" i="1"/>
  <c r="R14" i="1"/>
  <c r="S13" i="1"/>
  <c r="J13" i="1"/>
  <c r="K14" i="1"/>
  <c r="L13" i="1"/>
  <c r="C14" i="1" l="1"/>
  <c r="D15" i="1" s="1"/>
  <c r="E14" i="1"/>
  <c r="L14" i="1"/>
  <c r="J14" i="1"/>
  <c r="K15" i="1" s="1"/>
  <c r="R15" i="1"/>
  <c r="S14" i="1"/>
  <c r="Q14" i="1"/>
  <c r="J15" i="1" l="1"/>
  <c r="K16" i="1"/>
  <c r="L15" i="1"/>
  <c r="S15" i="1"/>
  <c r="Q15" i="1"/>
  <c r="R16" i="1" s="1"/>
  <c r="C15" i="1"/>
  <c r="D16" i="1" s="1"/>
  <c r="E15" i="1"/>
  <c r="S16" i="1" l="1"/>
  <c r="Q16" i="1"/>
  <c r="R17" i="1"/>
  <c r="C16" i="1"/>
  <c r="D17" i="1"/>
  <c r="E16" i="1"/>
  <c r="J16" i="1"/>
  <c r="K17" i="1"/>
  <c r="L16" i="1"/>
  <c r="L17" i="1" l="1"/>
  <c r="J17" i="1"/>
  <c r="K18" i="1" s="1"/>
  <c r="E17" i="1"/>
  <c r="C17" i="1"/>
  <c r="D18" i="1" s="1"/>
  <c r="Q17" i="1"/>
  <c r="S17" i="1"/>
  <c r="R18" i="1"/>
  <c r="C18" i="1" l="1"/>
  <c r="D19" i="1" s="1"/>
  <c r="E18" i="1"/>
  <c r="Q18" i="1"/>
  <c r="R19" i="1"/>
  <c r="S18" i="1"/>
  <c r="L18" i="1"/>
  <c r="J18" i="1"/>
  <c r="K19" i="1" s="1"/>
  <c r="J19" i="1" l="1"/>
  <c r="K20" i="1" s="1"/>
  <c r="L19" i="1"/>
  <c r="S19" i="1"/>
  <c r="Q19" i="1"/>
  <c r="R20" i="1"/>
  <c r="E19" i="1"/>
  <c r="C19" i="1"/>
  <c r="D20" i="1" s="1"/>
  <c r="E20" i="1" l="1"/>
  <c r="C20" i="1"/>
  <c r="D21" i="1" s="1"/>
  <c r="J20" i="1"/>
  <c r="K21" i="1"/>
  <c r="L20" i="1"/>
  <c r="Q20" i="1"/>
  <c r="R21" i="1"/>
  <c r="S20" i="1"/>
  <c r="E21" i="1" l="1"/>
  <c r="C21" i="1"/>
  <c r="D22" i="1" s="1"/>
  <c r="Q21" i="1"/>
  <c r="R22" i="1"/>
  <c r="S21" i="1"/>
  <c r="J21" i="1"/>
  <c r="K22" i="1" s="1"/>
  <c r="L21" i="1"/>
  <c r="L22" i="1" l="1"/>
  <c r="J22" i="1"/>
  <c r="K23" i="1" s="1"/>
  <c r="E22" i="1"/>
  <c r="C22" i="1"/>
  <c r="D23" i="1"/>
  <c r="R23" i="1"/>
  <c r="S22" i="1"/>
  <c r="Q22" i="1"/>
  <c r="J23" i="1" l="1"/>
  <c r="K24" i="1" s="1"/>
  <c r="L23" i="1"/>
  <c r="S23" i="1"/>
  <c r="Q23" i="1"/>
  <c r="R24" i="1" s="1"/>
  <c r="C23" i="1"/>
  <c r="D24" i="1" s="1"/>
  <c r="E23" i="1"/>
  <c r="Q24" i="1" l="1"/>
  <c r="R25" i="1"/>
  <c r="S24" i="1"/>
  <c r="C24" i="1"/>
  <c r="D25" i="1" s="1"/>
  <c r="E24" i="1"/>
  <c r="J24" i="1"/>
  <c r="K25" i="1" s="1"/>
  <c r="L24" i="1"/>
  <c r="C25" i="1" l="1"/>
  <c r="D26" i="1" s="1"/>
  <c r="E25" i="1"/>
  <c r="L25" i="1"/>
  <c r="J25" i="1"/>
  <c r="K26" i="1" s="1"/>
  <c r="Q25" i="1"/>
  <c r="R26" i="1" s="1"/>
  <c r="S25" i="1"/>
  <c r="C26" i="1" l="1"/>
  <c r="E26" i="1"/>
  <c r="S26" i="1"/>
  <c r="Q26" i="1"/>
  <c r="L26" i="1"/>
  <c r="J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000-000001000000}">
      <text>
        <r>
          <rPr>
            <sz val="10"/>
            <rFont val="Arial"/>
            <family val="2"/>
          </rPr>
          <t>Base GDP: $4,000B (2026), as in the original workbook.
Growth: tapers 6.5% → 4.1% (2026-2047), an illustrative deceleration curve consistent with the pattern in long-run projections from Goldman Sachs 'Global Outlook 2075' and PwC 'The World in 2050' — fast now, cooling as the economy grows and the population ages. Not an official year-by-year forecast; no institution publishes one this far out.</t>
        </r>
      </text>
    </comment>
    <comment ref="K5" authorId="0" shapeId="0" xr:uid="{00000000-0006-0000-0000-000002000000}">
      <text>
        <r>
          <rPr>
            <sz val="10"/>
            <rFont val="Arial"/>
            <family val="2"/>
          </rPr>
          <t>Base GDP: $20,000B (2026), as in the original workbook.
Growth: tapers 4.4% → 2.0% (2026-2047). 2026 rate matches the IMF's current China estimate; the decline reflects the workforce-driven slowdown that Goldman Sachs, PwC and IMF long-run work all project for China through the 2030s-40s.
Also fixed: 2030 GDP was previously hardcoded (20001), breaking the compounding chain; it is now a live formula again.</t>
        </r>
      </text>
    </comment>
    <comment ref="R5" authorId="0" shapeId="0" xr:uid="{00000000-0006-0000-0000-000003000000}">
      <text>
        <r>
          <rPr>
            <sz val="10"/>
            <rFont val="Arial"/>
            <family val="2"/>
          </rPr>
          <t>Base GDP: $31,800B (2026 estimate), IMF World Economic Outlook (Apr 2026) / Visual Capitalist ranking of 2026 economies.
Growth: tapers 2.3% → 1.6% (2026-2047). 2026 rate matches the IMF's current US estimate; the gentle decline reflects the steady ~1.4-1.8% long-run pace Goldman Sachs and PwC project for mature advanced economies.</t>
        </r>
      </text>
    </comment>
  </commentList>
</comments>
</file>

<file path=xl/sharedStrings.xml><?xml version="1.0" encoding="utf-8"?>
<sst xmlns="http://schemas.openxmlformats.org/spreadsheetml/2006/main" count="20" uniqueCount="10">
  <si>
    <t>GDP Growth Projections: India, China &amp; United States (2026–2047)</t>
  </si>
  <si>
    <t>Nominal GDP in US$ billions, compounded annually at the assumed growth rate for each year. Growth rates taper over time (see cell comments for sources). Blue text on yellow = editable inputs.</t>
  </si>
  <si>
    <t>INDIA</t>
  </si>
  <si>
    <t>CHINA</t>
  </si>
  <si>
    <t>UNITED STATES</t>
  </si>
  <si>
    <t>Year</t>
  </si>
  <si>
    <t>Growth %</t>
  </si>
  <si>
    <t>YoY Increase
($B)</t>
  </si>
  <si>
    <t>GDP
($B)</t>
  </si>
  <si>
    <t>GDP
($T)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</si>
</sst>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\$#,##0.0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33"/>
        <bgColor rgb="FFFF8080"/>
      </patternFill>
    </fill>
    <fill>
      <patternFill patternType="solid">
        <fgColor rgb="FFDE2910"/>
        <bgColor rgb="FFBE4B48"/>
      </patternFill>
    </fill>
    <fill>
      <patternFill patternType="solid">
        <fgColor rgb="FF3C3B6E"/>
        <bgColor rgb="FF333333"/>
      </patternFill>
    </fill>
    <fill>
      <patternFill patternType="solid">
        <fgColor rgb="FF1F4E78"/>
        <bgColor rgb="FF3C3B6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5" borderId="1" xfId="0" applyFont="1" applyFill="1" applyBorder="1" applyAlignment="1">
      <alignment horizontal="center" wrapText="1"/>
    </xf>
    <xf numFmtId="1" fontId="0" fillId="0" borderId="1" xfId="0" applyNumberFormat="1" applyBorder="1"/>
    <xf numFmtId="164" fontId="5" fillId="6" borderId="1" xfId="0" applyNumberFormat="1" applyFont="1" applyFill="1" applyBorder="1"/>
    <xf numFmtId="165" fontId="0" fillId="0" borderId="1" xfId="0" applyNumberFormat="1" applyBorder="1"/>
    <xf numFmtId="165" fontId="5" fillId="6" borderId="1" xfId="0" applyNumberFormat="1" applyFont="1" applyFill="1" applyBorder="1"/>
    <xf numFmtId="166" fontId="0" fillId="0" borderId="1" xfId="0" applyNumberFormat="1" applyBorder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E291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33"/>
      <rgbColor rgb="FFFF6600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3C3B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Nominal GDP Projection ($ Trillions)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India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Projections'!$A$5:$A$26</c:f>
              <c:numCache>
                <c:formatCode>0</c:formatCode>
                <c:ptCount val="2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</c:numCache>
            </c:numRef>
          </c:cat>
          <c:val>
            <c:numRef>
              <c:f>'GDP Projections'!$E$4:$E$26</c:f>
              <c:numCache>
                <c:formatCode>\$#,##0.00</c:formatCode>
                <c:ptCount val="23"/>
                <c:pt idx="0" formatCode="General">
                  <c:v>0</c:v>
                </c:pt>
                <c:pt idx="1">
                  <c:v>4</c:v>
                </c:pt>
                <c:pt idx="2">
                  <c:v>4.28</c:v>
                </c:pt>
                <c:pt idx="3">
                  <c:v>4.5967200000000004</c:v>
                </c:pt>
                <c:pt idx="4">
                  <c:v>4.9414740000000004</c:v>
                </c:pt>
                <c:pt idx="5">
                  <c:v>5.3318504460000007</c:v>
                </c:pt>
                <c:pt idx="6">
                  <c:v>5.795721434802001</c:v>
                </c:pt>
                <c:pt idx="7">
                  <c:v>6.3405192496733891</c:v>
                </c:pt>
                <c:pt idx="8">
                  <c:v>6.9238470206433407</c:v>
                </c:pt>
                <c:pt idx="9">
                  <c:v>7.533145558459954</c:v>
                </c:pt>
                <c:pt idx="10">
                  <c:v>8.3768578610074691</c:v>
                </c:pt>
                <c:pt idx="11">
                  <c:v>9.2312973628302313</c:v>
                </c:pt>
                <c:pt idx="12">
                  <c:v>10.172889693838915</c:v>
                </c:pt>
                <c:pt idx="13">
                  <c:v>11.393636457099586</c:v>
                </c:pt>
                <c:pt idx="14">
                  <c:v>12.510212829895345</c:v>
                </c:pt>
                <c:pt idx="15">
                  <c:v>13.59860134609624</c:v>
                </c:pt>
                <c:pt idx="16">
                  <c:v>14.754482460514421</c:v>
                </c:pt>
                <c:pt idx="17">
                  <c:v>15.905332092434545</c:v>
                </c:pt>
                <c:pt idx="18">
                  <c:v>17.050516003089832</c:v>
                </c:pt>
                <c:pt idx="19">
                  <c:v>18.227001607303031</c:v>
                </c:pt>
                <c:pt idx="20">
                  <c:v>19.448210714992335</c:v>
                </c:pt>
                <c:pt idx="21">
                  <c:v>20.731792622181832</c:v>
                </c:pt>
                <c:pt idx="22">
                  <c:v>22.079359142623648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59-474B-BF66-DC1670F1D8C0}"/>
            </c:ext>
          </c:extLst>
        </c:ser>
        <c:ser>
          <c:idx val="1"/>
          <c:order val="1"/>
          <c:tx>
            <c:v>China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Projections'!$A$5:$A$26</c:f>
              <c:numCache>
                <c:formatCode>0</c:formatCode>
                <c:ptCount val="2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</c:numCache>
            </c:numRef>
          </c:cat>
          <c:val>
            <c:numRef>
              <c:f>'GDP Projections'!$L$4:$L$26</c:f>
              <c:numCache>
                <c:formatCode>\$#,##0.00</c:formatCode>
                <c:ptCount val="23"/>
                <c:pt idx="0" formatCode="General">
                  <c:v>0</c:v>
                </c:pt>
                <c:pt idx="1">
                  <c:v>20</c:v>
                </c:pt>
                <c:pt idx="2">
                  <c:v>20.98</c:v>
                </c:pt>
                <c:pt idx="3">
                  <c:v>21.98704</c:v>
                </c:pt>
                <c:pt idx="4">
                  <c:v>23.042417919999998</c:v>
                </c:pt>
                <c:pt idx="5">
                  <c:v>23.941072218879999</c:v>
                </c:pt>
                <c:pt idx="6">
                  <c:v>24.850832963197437</c:v>
                </c:pt>
                <c:pt idx="7">
                  <c:v>25.770313782835743</c:v>
                </c:pt>
                <c:pt idx="8">
                  <c:v>26.698045079017831</c:v>
                </c:pt>
                <c:pt idx="9">
                  <c:v>27.632476656783453</c:v>
                </c:pt>
                <c:pt idx="10">
                  <c:v>28.571980863114092</c:v>
                </c:pt>
                <c:pt idx="11">
                  <c:v>29.514856231596855</c:v>
                </c:pt>
                <c:pt idx="12">
                  <c:v>30.547876199702745</c:v>
                </c:pt>
                <c:pt idx="13">
                  <c:v>31.555956114292936</c:v>
                </c:pt>
                <c:pt idx="14">
                  <c:v>32.344855017150259</c:v>
                </c:pt>
                <c:pt idx="15">
                  <c:v>33.218166102613317</c:v>
                </c:pt>
                <c:pt idx="16">
                  <c:v>34.048620255178648</c:v>
                </c:pt>
                <c:pt idx="17">
                  <c:v>34.933884381813293</c:v>
                </c:pt>
                <c:pt idx="18">
                  <c:v>35.946967028885886</c:v>
                </c:pt>
                <c:pt idx="19">
                  <c:v>36.95348210569469</c:v>
                </c:pt>
                <c:pt idx="20">
                  <c:v>37.840365676231364</c:v>
                </c:pt>
                <c:pt idx="21">
                  <c:v>38.937736280842074</c:v>
                </c:pt>
                <c:pt idx="22">
                  <c:v>40.027992896705648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59-474B-BF66-DC1670F1D8C0}"/>
            </c:ext>
          </c:extLst>
        </c:ser>
        <c:ser>
          <c:idx val="2"/>
          <c:order val="2"/>
          <c:tx>
            <c:v>United States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Projections'!$A$5:$A$26</c:f>
              <c:numCache>
                <c:formatCode>0</c:formatCode>
                <c:ptCount val="22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</c:numCache>
            </c:numRef>
          </c:cat>
          <c:val>
            <c:numRef>
              <c:f>'GDP Projections'!$S$4:$S$26</c:f>
              <c:numCache>
                <c:formatCode>\$#,##0.00</c:formatCode>
                <c:ptCount val="23"/>
                <c:pt idx="0" formatCode="General">
                  <c:v>0</c:v>
                </c:pt>
                <c:pt idx="1">
                  <c:v>31.8</c:v>
                </c:pt>
                <c:pt idx="2">
                  <c:v>32.531400000000005</c:v>
                </c:pt>
                <c:pt idx="3">
                  <c:v>33.247090799999995</c:v>
                </c:pt>
                <c:pt idx="4">
                  <c:v>33.945279706800001</c:v>
                </c:pt>
                <c:pt idx="5">
                  <c:v>34.624185300935999</c:v>
                </c:pt>
                <c:pt idx="6">
                  <c:v>35.316669006954719</c:v>
                </c:pt>
                <c:pt idx="7">
                  <c:v>35.987685718086858</c:v>
                </c:pt>
                <c:pt idx="8">
                  <c:v>36.671451746730511</c:v>
                </c:pt>
                <c:pt idx="9">
                  <c:v>37.368209329918393</c:v>
                </c:pt>
                <c:pt idx="10">
                  <c:v>38.040837097856922</c:v>
                </c:pt>
                <c:pt idx="11">
                  <c:v>38.725572165618345</c:v>
                </c:pt>
                <c:pt idx="12">
                  <c:v>39.422632464599474</c:v>
                </c:pt>
                <c:pt idx="13">
                  <c:v>40.132239848962264</c:v>
                </c:pt>
                <c:pt idx="14">
                  <c:v>40.814487926394619</c:v>
                </c:pt>
                <c:pt idx="15">
                  <c:v>41.508334221143329</c:v>
                </c:pt>
                <c:pt idx="16">
                  <c:v>42.21397590290276</c:v>
                </c:pt>
                <c:pt idx="17">
                  <c:v>42.931613493252108</c:v>
                </c:pt>
                <c:pt idx="18">
                  <c:v>43.661450922637393</c:v>
                </c:pt>
                <c:pt idx="19">
                  <c:v>44.360034137399587</c:v>
                </c:pt>
                <c:pt idx="20">
                  <c:v>45.025434649460585</c:v>
                </c:pt>
                <c:pt idx="21">
                  <c:v>45.65579073455303</c:v>
                </c:pt>
                <c:pt idx="22">
                  <c:v>46.24931601410222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259-474B-BF66-DC1670F1D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442733"/>
        <c:axId val="16365067"/>
      </c:lineChart>
      <c:catAx>
        <c:axId val="314427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65067"/>
        <c:crosses val="autoZero"/>
        <c:auto val="1"/>
        <c:lblAlgn val="ctr"/>
        <c:lblOffset val="100"/>
        <c:noMultiLvlLbl val="0"/>
      </c:catAx>
      <c:valAx>
        <c:axId val="16365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GDP ($T)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42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160920</xdr:rowOff>
    </xdr:from>
    <xdr:to>
      <xdr:col>11</xdr:col>
      <xdr:colOff>604440</xdr:colOff>
      <xdr:row>44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F9E948-4115-4F1E-9FFF-5FC3CE341C3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JcI_uoKPyEMTVlSVrIA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zoomScale="103" zoomScaleNormal="100" workbookViewId="0">
      <pane ySplit="4" topLeftCell="A11" activePane="bottomLeft" state="frozen"/>
      <selection pane="bottomLeft" activeCell="B8" sqref="B8"/>
    </sheetView>
  </sheetViews>
  <sheetFormatPr defaultColWidth="8.6328125" defaultRowHeight="14.5" x14ac:dyDescent="0.35"/>
  <cols>
    <col min="1" max="5" width="12" customWidth="1"/>
    <col min="6" max="7" width="3" customWidth="1"/>
    <col min="8" max="12" width="12" customWidth="1"/>
    <col min="13" max="14" width="3" customWidth="1"/>
    <col min="15" max="19" width="12" customWidth="1"/>
  </cols>
  <sheetData>
    <row r="1" spans="1:19" ht="18" x14ac:dyDescent="0.4">
      <c r="A1" s="1" t="s">
        <v>0</v>
      </c>
    </row>
    <row r="2" spans="1:19" x14ac:dyDescent="0.35">
      <c r="A2" s="2" t="s">
        <v>1</v>
      </c>
    </row>
    <row r="3" spans="1:19" ht="15.5" x14ac:dyDescent="0.35">
      <c r="A3" s="9" t="s">
        <v>2</v>
      </c>
      <c r="B3" s="9"/>
      <c r="C3" s="9"/>
      <c r="D3" s="9"/>
      <c r="E3" s="9"/>
      <c r="H3" s="10" t="s">
        <v>3</v>
      </c>
      <c r="I3" s="10"/>
      <c r="J3" s="10"/>
      <c r="K3" s="10"/>
      <c r="L3" s="10"/>
      <c r="O3" s="11" t="s">
        <v>4</v>
      </c>
      <c r="P3" s="11"/>
      <c r="Q3" s="11"/>
      <c r="R3" s="11"/>
      <c r="S3" s="11"/>
    </row>
    <row r="4" spans="1:19" ht="30" customHeight="1" x14ac:dyDescent="0.3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</row>
    <row r="5" spans="1:19" x14ac:dyDescent="0.35">
      <c r="A5" s="4">
        <v>2026</v>
      </c>
      <c r="B5" s="5">
        <v>7.0000000000000007E-2</v>
      </c>
      <c r="C5" s="6">
        <f t="shared" ref="C5:C26" si="0">D5*B5</f>
        <v>280</v>
      </c>
      <c r="D5" s="7">
        <v>4000</v>
      </c>
      <c r="E5" s="8">
        <f t="shared" ref="E5:E26" si="1">D5/1000</f>
        <v>4</v>
      </c>
      <c r="H5" s="4">
        <v>2026</v>
      </c>
      <c r="I5" s="5">
        <v>4.9000000000000002E-2</v>
      </c>
      <c r="J5" s="6">
        <f t="shared" ref="J5:J26" si="2">K5*I5</f>
        <v>980</v>
      </c>
      <c r="K5" s="7">
        <v>20000</v>
      </c>
      <c r="L5" s="8">
        <f t="shared" ref="L5:L26" si="3">K5/1000</f>
        <v>20</v>
      </c>
      <c r="O5" s="4">
        <v>2026</v>
      </c>
      <c r="P5" s="5">
        <v>2.3E-2</v>
      </c>
      <c r="Q5" s="6">
        <f t="shared" ref="Q5:Q26" si="4">R5*P5</f>
        <v>731.4</v>
      </c>
      <c r="R5" s="7">
        <v>31800</v>
      </c>
      <c r="S5" s="8">
        <f t="shared" ref="S5:S26" si="5">R5/1000</f>
        <v>31.8</v>
      </c>
    </row>
    <row r="6" spans="1:19" x14ac:dyDescent="0.35">
      <c r="A6" s="4">
        <v>2027</v>
      </c>
      <c r="B6" s="5">
        <v>7.3999999999999996E-2</v>
      </c>
      <c r="C6" s="6">
        <f t="shared" si="0"/>
        <v>316.71999999999997</v>
      </c>
      <c r="D6" s="6">
        <f t="shared" ref="D6:D26" si="6">D5+C5</f>
        <v>4280</v>
      </c>
      <c r="E6" s="8">
        <f t="shared" si="1"/>
        <v>4.28</v>
      </c>
      <c r="H6" s="4">
        <v>2027</v>
      </c>
      <c r="I6" s="5">
        <v>4.8000000000000001E-2</v>
      </c>
      <c r="J6" s="6">
        <f t="shared" si="2"/>
        <v>1007.0400000000001</v>
      </c>
      <c r="K6" s="6">
        <f t="shared" ref="K6:K26" si="7">K5+J5</f>
        <v>20980</v>
      </c>
      <c r="L6" s="8">
        <f t="shared" si="3"/>
        <v>20.98</v>
      </c>
      <c r="O6" s="4">
        <v>2027</v>
      </c>
      <c r="P6" s="5">
        <v>2.1999999999999999E-2</v>
      </c>
      <c r="Q6" s="6">
        <f t="shared" si="4"/>
        <v>715.69079999999997</v>
      </c>
      <c r="R6" s="6">
        <f t="shared" ref="R6:R26" si="8">R5+Q5</f>
        <v>32531.4</v>
      </c>
      <c r="S6" s="8">
        <f t="shared" si="5"/>
        <v>32.531400000000005</v>
      </c>
    </row>
    <row r="7" spans="1:19" x14ac:dyDescent="0.35">
      <c r="A7" s="4">
        <v>2028</v>
      </c>
      <c r="B7" s="5">
        <v>7.4999999999999997E-2</v>
      </c>
      <c r="C7" s="6">
        <f t="shared" si="0"/>
        <v>344.75400000000002</v>
      </c>
      <c r="D7" s="6">
        <f t="shared" si="6"/>
        <v>4596.72</v>
      </c>
      <c r="E7" s="8">
        <f t="shared" si="1"/>
        <v>4.5967200000000004</v>
      </c>
      <c r="H7" s="4">
        <v>2028</v>
      </c>
      <c r="I7" s="5">
        <v>4.8000000000000001E-2</v>
      </c>
      <c r="J7" s="6">
        <f t="shared" si="2"/>
        <v>1055.3779200000001</v>
      </c>
      <c r="K7" s="6">
        <f t="shared" si="7"/>
        <v>21987.040000000001</v>
      </c>
      <c r="L7" s="8">
        <f t="shared" si="3"/>
        <v>21.98704</v>
      </c>
      <c r="O7" s="4">
        <v>2028</v>
      </c>
      <c r="P7" s="5">
        <v>2.1000000000000001E-2</v>
      </c>
      <c r="Q7" s="6">
        <f t="shared" si="4"/>
        <v>698.18890680000004</v>
      </c>
      <c r="R7" s="6">
        <f t="shared" si="8"/>
        <v>33247.090799999998</v>
      </c>
      <c r="S7" s="8">
        <f t="shared" si="5"/>
        <v>33.247090799999995</v>
      </c>
    </row>
    <row r="8" spans="1:19" x14ac:dyDescent="0.35">
      <c r="A8" s="4">
        <v>2029</v>
      </c>
      <c r="B8" s="5">
        <v>7.9000000000000001E-2</v>
      </c>
      <c r="C8" s="6">
        <f t="shared" si="0"/>
        <v>390.37644600000004</v>
      </c>
      <c r="D8" s="6">
        <f t="shared" si="6"/>
        <v>4941.4740000000002</v>
      </c>
      <c r="E8" s="8">
        <f t="shared" si="1"/>
        <v>4.9414740000000004</v>
      </c>
      <c r="H8" s="4">
        <v>2029</v>
      </c>
      <c r="I8" s="5">
        <v>3.9E-2</v>
      </c>
      <c r="J8" s="6">
        <f t="shared" si="2"/>
        <v>898.65429887999994</v>
      </c>
      <c r="K8" s="6">
        <f t="shared" si="7"/>
        <v>23042.41792</v>
      </c>
      <c r="L8" s="8">
        <f t="shared" si="3"/>
        <v>23.042417919999998</v>
      </c>
      <c r="O8" s="4">
        <v>2029</v>
      </c>
      <c r="P8" s="5">
        <v>0.02</v>
      </c>
      <c r="Q8" s="6">
        <f t="shared" si="4"/>
        <v>678.90559413599999</v>
      </c>
      <c r="R8" s="6">
        <f t="shared" si="8"/>
        <v>33945.2797068</v>
      </c>
      <c r="S8" s="8">
        <f t="shared" si="5"/>
        <v>33.945279706800001</v>
      </c>
    </row>
    <row r="9" spans="1:19" x14ac:dyDescent="0.35">
      <c r="A9" s="4">
        <v>2030</v>
      </c>
      <c r="B9" s="5">
        <v>8.6999999999999994E-2</v>
      </c>
      <c r="C9" s="6">
        <f t="shared" si="0"/>
        <v>463.870988802</v>
      </c>
      <c r="D9" s="6">
        <f t="shared" si="6"/>
        <v>5331.8504460000004</v>
      </c>
      <c r="E9" s="8">
        <f t="shared" si="1"/>
        <v>5.3318504460000007</v>
      </c>
      <c r="H9" s="4">
        <v>2030</v>
      </c>
      <c r="I9" s="5">
        <v>3.7999999999999999E-2</v>
      </c>
      <c r="J9" s="6">
        <f t="shared" si="2"/>
        <v>909.76074431743996</v>
      </c>
      <c r="K9" s="6">
        <f t="shared" si="7"/>
        <v>23941.072218879999</v>
      </c>
      <c r="L9" s="8">
        <f t="shared" si="3"/>
        <v>23.941072218879999</v>
      </c>
      <c r="O9" s="4">
        <v>2030</v>
      </c>
      <c r="P9" s="5">
        <v>0.02</v>
      </c>
      <c r="Q9" s="6">
        <f t="shared" si="4"/>
        <v>692.48370601872</v>
      </c>
      <c r="R9" s="6">
        <f t="shared" si="8"/>
        <v>34624.185300935998</v>
      </c>
      <c r="S9" s="8">
        <f t="shared" si="5"/>
        <v>34.624185300935999</v>
      </c>
    </row>
    <row r="10" spans="1:19" x14ac:dyDescent="0.35">
      <c r="A10" s="4">
        <v>2031</v>
      </c>
      <c r="B10" s="5">
        <v>9.4E-2</v>
      </c>
      <c r="C10" s="6">
        <f t="shared" si="0"/>
        <v>544.79781487138803</v>
      </c>
      <c r="D10" s="6">
        <f t="shared" si="6"/>
        <v>5795.7214348020007</v>
      </c>
      <c r="E10" s="8">
        <f t="shared" si="1"/>
        <v>5.795721434802001</v>
      </c>
      <c r="H10" s="4">
        <v>2031</v>
      </c>
      <c r="I10" s="5">
        <v>3.6999999999999998E-2</v>
      </c>
      <c r="J10" s="6">
        <f t="shared" si="2"/>
        <v>919.48081963830509</v>
      </c>
      <c r="K10" s="6">
        <f t="shared" si="7"/>
        <v>24850.832963197437</v>
      </c>
      <c r="L10" s="8">
        <f t="shared" si="3"/>
        <v>24.850832963197437</v>
      </c>
      <c r="O10" s="4">
        <v>2031</v>
      </c>
      <c r="P10" s="5">
        <v>1.9E-2</v>
      </c>
      <c r="Q10" s="6">
        <f t="shared" si="4"/>
        <v>671.01671113213968</v>
      </c>
      <c r="R10" s="6">
        <f t="shared" si="8"/>
        <v>35316.669006954718</v>
      </c>
      <c r="S10" s="8">
        <f t="shared" si="5"/>
        <v>35.316669006954719</v>
      </c>
    </row>
    <row r="11" spans="1:19" x14ac:dyDescent="0.35">
      <c r="A11" s="4">
        <v>2032</v>
      </c>
      <c r="B11" s="5">
        <v>9.1999999999999998E-2</v>
      </c>
      <c r="C11" s="6">
        <f t="shared" si="0"/>
        <v>583.32777096995176</v>
      </c>
      <c r="D11" s="6">
        <f t="shared" si="6"/>
        <v>6340.5192496733889</v>
      </c>
      <c r="E11" s="8">
        <f t="shared" si="1"/>
        <v>6.3405192496733891</v>
      </c>
      <c r="H11" s="4">
        <v>2032</v>
      </c>
      <c r="I11" s="5">
        <v>3.5999999999999997E-2</v>
      </c>
      <c r="J11" s="6">
        <f t="shared" si="2"/>
        <v>927.73129618208668</v>
      </c>
      <c r="K11" s="6">
        <f t="shared" si="7"/>
        <v>25770.313782835743</v>
      </c>
      <c r="L11" s="8">
        <f t="shared" si="3"/>
        <v>25.770313782835743</v>
      </c>
      <c r="O11" s="4">
        <v>2032</v>
      </c>
      <c r="P11" s="5">
        <v>1.9E-2</v>
      </c>
      <c r="Q11" s="6">
        <f t="shared" si="4"/>
        <v>683.76602864365032</v>
      </c>
      <c r="R11" s="6">
        <f t="shared" si="8"/>
        <v>35987.685718086861</v>
      </c>
      <c r="S11" s="8">
        <f t="shared" si="5"/>
        <v>35.987685718086858</v>
      </c>
    </row>
    <row r="12" spans="1:19" x14ac:dyDescent="0.35">
      <c r="A12" s="4">
        <v>2033</v>
      </c>
      <c r="B12" s="5">
        <v>8.7999999999999995E-2</v>
      </c>
      <c r="C12" s="6">
        <f>D12*B12</f>
        <v>609.29853781661393</v>
      </c>
      <c r="D12" s="6">
        <f t="shared" si="6"/>
        <v>6923.8470206433403</v>
      </c>
      <c r="E12" s="8">
        <f t="shared" si="1"/>
        <v>6.9238470206433407</v>
      </c>
      <c r="H12" s="4">
        <v>2033</v>
      </c>
      <c r="I12" s="5">
        <v>3.5000000000000003E-2</v>
      </c>
      <c r="J12" s="6">
        <f t="shared" si="2"/>
        <v>934.43157776562407</v>
      </c>
      <c r="K12" s="6">
        <f t="shared" si="7"/>
        <v>26698.045079017829</v>
      </c>
      <c r="L12" s="8">
        <f t="shared" si="3"/>
        <v>26.698045079017831</v>
      </c>
      <c r="O12" s="4">
        <v>2033</v>
      </c>
      <c r="P12" s="5">
        <v>1.9E-2</v>
      </c>
      <c r="Q12" s="6">
        <f t="shared" si="4"/>
        <v>696.75758318787973</v>
      </c>
      <c r="R12" s="6">
        <f t="shared" si="8"/>
        <v>36671.451746730512</v>
      </c>
      <c r="S12" s="8">
        <f t="shared" si="5"/>
        <v>36.671451746730511</v>
      </c>
    </row>
    <row r="13" spans="1:19" x14ac:dyDescent="0.35">
      <c r="A13" s="4">
        <v>2034</v>
      </c>
      <c r="B13" s="5">
        <v>0.112</v>
      </c>
      <c r="C13" s="6">
        <f t="shared" si="0"/>
        <v>843.71230254751492</v>
      </c>
      <c r="D13" s="6">
        <f>D12+C12</f>
        <v>7533.1455584599544</v>
      </c>
      <c r="E13" s="8">
        <f t="shared" si="1"/>
        <v>7.533145558459954</v>
      </c>
      <c r="H13" s="4">
        <v>2034</v>
      </c>
      <c r="I13" s="5">
        <v>3.4000000000000002E-2</v>
      </c>
      <c r="J13" s="6">
        <f t="shared" si="2"/>
        <v>939.50420633063743</v>
      </c>
      <c r="K13" s="6">
        <f t="shared" si="7"/>
        <v>27632.476656783452</v>
      </c>
      <c r="L13" s="8">
        <f t="shared" si="3"/>
        <v>27.632476656783453</v>
      </c>
      <c r="O13" s="4">
        <v>2034</v>
      </c>
      <c r="P13" s="5">
        <v>1.7999999999999999E-2</v>
      </c>
      <c r="Q13" s="6">
        <f t="shared" si="4"/>
        <v>672.62776793853095</v>
      </c>
      <c r="R13" s="6">
        <f t="shared" si="8"/>
        <v>37368.209329918391</v>
      </c>
      <c r="S13" s="8">
        <f t="shared" si="5"/>
        <v>37.368209329918393</v>
      </c>
    </row>
    <row r="14" spans="1:19" x14ac:dyDescent="0.35">
      <c r="A14" s="4">
        <v>2035</v>
      </c>
      <c r="B14" s="5">
        <v>0.10199999999999999</v>
      </c>
      <c r="C14" s="6">
        <f t="shared" si="0"/>
        <v>854.43950182276183</v>
      </c>
      <c r="D14" s="6">
        <f t="shared" si="6"/>
        <v>8376.8578610074692</v>
      </c>
      <c r="E14" s="8">
        <f t="shared" si="1"/>
        <v>8.3768578610074691</v>
      </c>
      <c r="H14" s="4">
        <v>2035</v>
      </c>
      <c r="I14" s="5">
        <v>3.3000000000000002E-2</v>
      </c>
      <c r="J14" s="6">
        <f t="shared" si="2"/>
        <v>942.87536848276511</v>
      </c>
      <c r="K14" s="6">
        <f t="shared" si="7"/>
        <v>28571.980863114091</v>
      </c>
      <c r="L14" s="8">
        <f t="shared" si="3"/>
        <v>28.571980863114092</v>
      </c>
      <c r="O14" s="4">
        <v>2035</v>
      </c>
      <c r="P14" s="5">
        <v>1.7999999999999999E-2</v>
      </c>
      <c r="Q14" s="6">
        <f t="shared" si="4"/>
        <v>684.73506776142449</v>
      </c>
      <c r="R14" s="6">
        <f t="shared" si="8"/>
        <v>38040.837097856922</v>
      </c>
      <c r="S14" s="8">
        <f t="shared" si="5"/>
        <v>38.040837097856922</v>
      </c>
    </row>
    <row r="15" spans="1:19" x14ac:dyDescent="0.35">
      <c r="A15" s="4">
        <v>2036</v>
      </c>
      <c r="B15" s="5">
        <v>0.10199999999999999</v>
      </c>
      <c r="C15" s="6">
        <f t="shared" si="0"/>
        <v>941.59233100868357</v>
      </c>
      <c r="D15" s="6">
        <f t="shared" si="6"/>
        <v>9231.2973628302316</v>
      </c>
      <c r="E15" s="8">
        <f t="shared" si="1"/>
        <v>9.2312973628302313</v>
      </c>
      <c r="H15" s="4">
        <v>2036</v>
      </c>
      <c r="I15" s="5">
        <v>3.5000000000000003E-2</v>
      </c>
      <c r="J15" s="6">
        <f t="shared" si="2"/>
        <v>1033.01996810589</v>
      </c>
      <c r="K15" s="6">
        <f t="shared" si="7"/>
        <v>29514.856231596856</v>
      </c>
      <c r="L15" s="8">
        <f t="shared" si="3"/>
        <v>29.514856231596855</v>
      </c>
      <c r="O15" s="4">
        <v>2036</v>
      </c>
      <c r="P15" s="5">
        <v>1.7999999999999999E-2</v>
      </c>
      <c r="Q15" s="6">
        <f t="shared" si="4"/>
        <v>697.06029898113013</v>
      </c>
      <c r="R15" s="6">
        <f t="shared" si="8"/>
        <v>38725.572165618345</v>
      </c>
      <c r="S15" s="8">
        <f t="shared" si="5"/>
        <v>38.725572165618345</v>
      </c>
    </row>
    <row r="16" spans="1:19" x14ac:dyDescent="0.35">
      <c r="A16" s="4">
        <v>2037</v>
      </c>
      <c r="B16" s="5">
        <v>0.12</v>
      </c>
      <c r="C16" s="6">
        <f t="shared" si="0"/>
        <v>1220.7467632606697</v>
      </c>
      <c r="D16" s="6">
        <f t="shared" si="6"/>
        <v>10172.889693838915</v>
      </c>
      <c r="E16" s="8">
        <f t="shared" si="1"/>
        <v>10.172889693838915</v>
      </c>
      <c r="H16" s="4">
        <v>2037</v>
      </c>
      <c r="I16" s="5">
        <v>3.3000000000000002E-2</v>
      </c>
      <c r="J16" s="6">
        <f t="shared" si="2"/>
        <v>1008.0799145901907</v>
      </c>
      <c r="K16" s="6">
        <f t="shared" si="7"/>
        <v>30547.876199702747</v>
      </c>
      <c r="L16" s="8">
        <f t="shared" si="3"/>
        <v>30.547876199702745</v>
      </c>
      <c r="O16" s="4">
        <v>2037</v>
      </c>
      <c r="P16" s="5">
        <v>1.7999999999999999E-2</v>
      </c>
      <c r="Q16" s="6">
        <f t="shared" si="4"/>
        <v>709.60738436279053</v>
      </c>
      <c r="R16" s="6">
        <f t="shared" si="8"/>
        <v>39422.632464599475</v>
      </c>
      <c r="S16" s="8">
        <f t="shared" si="5"/>
        <v>39.422632464599474</v>
      </c>
    </row>
    <row r="17" spans="1:19" x14ac:dyDescent="0.35">
      <c r="A17" s="4">
        <v>2038</v>
      </c>
      <c r="B17" s="5">
        <v>9.8000000000000004E-2</v>
      </c>
      <c r="C17" s="6">
        <f t="shared" si="0"/>
        <v>1116.5763727957594</v>
      </c>
      <c r="D17" s="6">
        <f t="shared" si="6"/>
        <v>11393.636457099585</v>
      </c>
      <c r="E17" s="8">
        <f t="shared" si="1"/>
        <v>11.393636457099586</v>
      </c>
      <c r="H17" s="4">
        <v>2038</v>
      </c>
      <c r="I17" s="5">
        <v>2.5000000000000001E-2</v>
      </c>
      <c r="J17" s="6">
        <f t="shared" si="2"/>
        <v>788.89890285732349</v>
      </c>
      <c r="K17" s="6">
        <f t="shared" si="7"/>
        <v>31555.956114292938</v>
      </c>
      <c r="L17" s="8">
        <f t="shared" si="3"/>
        <v>31.555956114292936</v>
      </c>
      <c r="O17" s="4">
        <v>2038</v>
      </c>
      <c r="P17" s="5">
        <v>1.7000000000000001E-2</v>
      </c>
      <c r="Q17" s="6">
        <f t="shared" si="4"/>
        <v>682.24807743235851</v>
      </c>
      <c r="R17" s="6">
        <f t="shared" si="8"/>
        <v>40132.239848962265</v>
      </c>
      <c r="S17" s="8">
        <f t="shared" si="5"/>
        <v>40.132239848962264</v>
      </c>
    </row>
    <row r="18" spans="1:19" x14ac:dyDescent="0.35">
      <c r="A18" s="4">
        <v>2039</v>
      </c>
      <c r="B18" s="5">
        <v>8.6999999999999994E-2</v>
      </c>
      <c r="C18" s="6">
        <f t="shared" si="0"/>
        <v>1088.3885162008949</v>
      </c>
      <c r="D18" s="6">
        <f t="shared" si="6"/>
        <v>12510.212829895345</v>
      </c>
      <c r="E18" s="8">
        <f t="shared" si="1"/>
        <v>12.510212829895345</v>
      </c>
      <c r="H18" s="4">
        <v>2039</v>
      </c>
      <c r="I18" s="5">
        <v>2.7E-2</v>
      </c>
      <c r="J18" s="6">
        <f t="shared" si="2"/>
        <v>873.311085463057</v>
      </c>
      <c r="K18" s="6">
        <f t="shared" si="7"/>
        <v>32344.855017150261</v>
      </c>
      <c r="L18" s="8">
        <f t="shared" si="3"/>
        <v>32.344855017150259</v>
      </c>
      <c r="O18" s="4">
        <v>2039</v>
      </c>
      <c r="P18" s="5">
        <v>1.7000000000000001E-2</v>
      </c>
      <c r="Q18" s="6">
        <f t="shared" si="4"/>
        <v>693.8462947487086</v>
      </c>
      <c r="R18" s="6">
        <f t="shared" si="8"/>
        <v>40814.48792639462</v>
      </c>
      <c r="S18" s="8">
        <f t="shared" si="5"/>
        <v>40.814487926394619</v>
      </c>
    </row>
    <row r="19" spans="1:19" x14ac:dyDescent="0.35">
      <c r="A19" s="4">
        <v>2040</v>
      </c>
      <c r="B19" s="5">
        <v>8.5000000000000006E-2</v>
      </c>
      <c r="C19" s="6">
        <f t="shared" si="0"/>
        <v>1155.8811144181805</v>
      </c>
      <c r="D19" s="6">
        <f t="shared" si="6"/>
        <v>13598.60134609624</v>
      </c>
      <c r="E19" s="8">
        <f t="shared" si="1"/>
        <v>13.59860134609624</v>
      </c>
      <c r="H19" s="4">
        <v>2040</v>
      </c>
      <c r="I19" s="5">
        <v>2.5000000000000001E-2</v>
      </c>
      <c r="J19" s="6">
        <f t="shared" si="2"/>
        <v>830.45415256533295</v>
      </c>
      <c r="K19" s="6">
        <f t="shared" si="7"/>
        <v>33218.166102613315</v>
      </c>
      <c r="L19" s="8">
        <f t="shared" si="3"/>
        <v>33.218166102613317</v>
      </c>
      <c r="O19" s="4">
        <v>2040</v>
      </c>
      <c r="P19" s="5">
        <v>1.7000000000000001E-2</v>
      </c>
      <c r="Q19" s="6">
        <f t="shared" si="4"/>
        <v>705.64168175943655</v>
      </c>
      <c r="R19" s="6">
        <f t="shared" si="8"/>
        <v>41508.334221143326</v>
      </c>
      <c r="S19" s="8">
        <f t="shared" si="5"/>
        <v>41.508334221143329</v>
      </c>
    </row>
    <row r="20" spans="1:19" x14ac:dyDescent="0.35">
      <c r="A20" s="4">
        <v>2041</v>
      </c>
      <c r="B20" s="5">
        <v>7.8E-2</v>
      </c>
      <c r="C20" s="6">
        <f t="shared" si="0"/>
        <v>1150.8496319201247</v>
      </c>
      <c r="D20" s="6">
        <f t="shared" si="6"/>
        <v>14754.48246051442</v>
      </c>
      <c r="E20" s="8">
        <f t="shared" si="1"/>
        <v>14.754482460514421</v>
      </c>
      <c r="H20" s="4">
        <v>2041</v>
      </c>
      <c r="I20" s="5">
        <v>2.5999999999999999E-2</v>
      </c>
      <c r="J20" s="6">
        <f t="shared" si="2"/>
        <v>885.26412663464487</v>
      </c>
      <c r="K20" s="6">
        <f t="shared" si="7"/>
        <v>34048.620255178648</v>
      </c>
      <c r="L20" s="8">
        <f t="shared" si="3"/>
        <v>34.048620255178648</v>
      </c>
      <c r="O20" s="4">
        <v>2041</v>
      </c>
      <c r="P20" s="5">
        <v>1.7000000000000001E-2</v>
      </c>
      <c r="Q20" s="6">
        <f t="shared" si="4"/>
        <v>717.63759034934697</v>
      </c>
      <c r="R20" s="6">
        <f t="shared" si="8"/>
        <v>42213.975902902763</v>
      </c>
      <c r="S20" s="8">
        <f t="shared" si="5"/>
        <v>42.21397590290276</v>
      </c>
    </row>
    <row r="21" spans="1:19" x14ac:dyDescent="0.35">
      <c r="A21" s="4">
        <v>2042</v>
      </c>
      <c r="B21" s="5">
        <v>7.1999999999999995E-2</v>
      </c>
      <c r="C21" s="6">
        <f t="shared" si="0"/>
        <v>1145.183910655287</v>
      </c>
      <c r="D21" s="6">
        <f t="shared" si="6"/>
        <v>15905.332092434544</v>
      </c>
      <c r="E21" s="8">
        <f t="shared" si="1"/>
        <v>15.905332092434545</v>
      </c>
      <c r="H21" s="4">
        <v>2042</v>
      </c>
      <c r="I21" s="5">
        <v>2.9000000000000001E-2</v>
      </c>
      <c r="J21" s="6">
        <f t="shared" si="2"/>
        <v>1013.0826470725856</v>
      </c>
      <c r="K21" s="6">
        <f t="shared" si="7"/>
        <v>34933.884381813295</v>
      </c>
      <c r="L21" s="8">
        <f t="shared" si="3"/>
        <v>34.933884381813293</v>
      </c>
      <c r="O21" s="4">
        <v>2042</v>
      </c>
      <c r="P21" s="5">
        <v>1.7000000000000001E-2</v>
      </c>
      <c r="Q21" s="6">
        <f t="shared" si="4"/>
        <v>729.83742938528587</v>
      </c>
      <c r="R21" s="6">
        <f t="shared" si="8"/>
        <v>42931.613493252109</v>
      </c>
      <c r="S21" s="8">
        <f t="shared" si="5"/>
        <v>42.931613493252108</v>
      </c>
    </row>
    <row r="22" spans="1:19" x14ac:dyDescent="0.35">
      <c r="A22" s="4">
        <v>2043</v>
      </c>
      <c r="B22" s="5">
        <v>6.9000000000000006E-2</v>
      </c>
      <c r="C22" s="6">
        <f t="shared" si="0"/>
        <v>1176.4856042131985</v>
      </c>
      <c r="D22" s="6">
        <f t="shared" si="6"/>
        <v>17050.516003089833</v>
      </c>
      <c r="E22" s="8">
        <f t="shared" si="1"/>
        <v>17.050516003089832</v>
      </c>
      <c r="H22" s="4">
        <v>2043</v>
      </c>
      <c r="I22" s="5">
        <v>2.8000000000000001E-2</v>
      </c>
      <c r="J22" s="6">
        <f t="shared" si="2"/>
        <v>1006.5150768088048</v>
      </c>
      <c r="K22" s="6">
        <f t="shared" si="7"/>
        <v>35946.967028885883</v>
      </c>
      <c r="L22" s="8">
        <f t="shared" si="3"/>
        <v>35.946967028885886</v>
      </c>
      <c r="O22" s="4">
        <v>2043</v>
      </c>
      <c r="P22" s="5">
        <v>1.6E-2</v>
      </c>
      <c r="Q22" s="6">
        <f t="shared" si="4"/>
        <v>698.58321476219828</v>
      </c>
      <c r="R22" s="6">
        <f t="shared" si="8"/>
        <v>43661.450922637392</v>
      </c>
      <c r="S22" s="8">
        <f t="shared" si="5"/>
        <v>43.661450922637393</v>
      </c>
    </row>
    <row r="23" spans="1:19" x14ac:dyDescent="0.35">
      <c r="A23" s="4">
        <v>2044</v>
      </c>
      <c r="B23" s="5">
        <v>6.7000000000000004E-2</v>
      </c>
      <c r="C23" s="6">
        <f t="shared" si="0"/>
        <v>1221.2091076893032</v>
      </c>
      <c r="D23" s="6">
        <f t="shared" si="6"/>
        <v>18227.001607303031</v>
      </c>
      <c r="E23" s="8">
        <f t="shared" si="1"/>
        <v>18.227001607303031</v>
      </c>
      <c r="H23" s="4">
        <v>2044</v>
      </c>
      <c r="I23" s="5">
        <v>2.4E-2</v>
      </c>
      <c r="J23" s="6">
        <f t="shared" si="2"/>
        <v>886.88357053667255</v>
      </c>
      <c r="K23" s="6">
        <f t="shared" si="7"/>
        <v>36953.482105694689</v>
      </c>
      <c r="L23" s="8">
        <f t="shared" si="3"/>
        <v>36.95348210569469</v>
      </c>
      <c r="O23" s="4">
        <v>2044</v>
      </c>
      <c r="P23" s="5">
        <v>1.4999999999999999E-2</v>
      </c>
      <c r="Q23" s="6">
        <f t="shared" si="4"/>
        <v>665.40051206099383</v>
      </c>
      <c r="R23" s="6">
        <f t="shared" si="8"/>
        <v>44360.034137399591</v>
      </c>
      <c r="S23" s="8">
        <f t="shared" si="5"/>
        <v>44.360034137399587</v>
      </c>
    </row>
    <row r="24" spans="1:19" x14ac:dyDescent="0.35">
      <c r="A24" s="4">
        <v>2045</v>
      </c>
      <c r="B24" s="5">
        <v>6.6000000000000003E-2</v>
      </c>
      <c r="C24" s="6">
        <f t="shared" si="0"/>
        <v>1283.5819071894941</v>
      </c>
      <c r="D24" s="6">
        <f t="shared" si="6"/>
        <v>19448.210714992336</v>
      </c>
      <c r="E24" s="8">
        <f t="shared" si="1"/>
        <v>19.448210714992335</v>
      </c>
      <c r="H24" s="4">
        <v>2045</v>
      </c>
      <c r="I24" s="5">
        <v>2.9000000000000001E-2</v>
      </c>
      <c r="J24" s="6">
        <f t="shared" si="2"/>
        <v>1097.3706046107095</v>
      </c>
      <c r="K24" s="6">
        <f t="shared" si="7"/>
        <v>37840.365676231362</v>
      </c>
      <c r="L24" s="8">
        <f t="shared" si="3"/>
        <v>37.840365676231364</v>
      </c>
      <c r="O24" s="4">
        <v>2045</v>
      </c>
      <c r="P24" s="5">
        <v>1.4E-2</v>
      </c>
      <c r="Q24" s="6">
        <f t="shared" si="4"/>
        <v>630.35608509244821</v>
      </c>
      <c r="R24" s="6">
        <f t="shared" si="8"/>
        <v>45025.434649460585</v>
      </c>
      <c r="S24" s="8">
        <f t="shared" si="5"/>
        <v>45.025434649460585</v>
      </c>
    </row>
    <row r="25" spans="1:19" x14ac:dyDescent="0.35">
      <c r="A25" s="4">
        <v>2046</v>
      </c>
      <c r="B25" s="5">
        <v>6.5000000000000002E-2</v>
      </c>
      <c r="C25" s="6">
        <f t="shared" si="0"/>
        <v>1347.566520441819</v>
      </c>
      <c r="D25" s="6">
        <f t="shared" si="6"/>
        <v>20731.792622181831</v>
      </c>
      <c r="E25" s="8">
        <f t="shared" si="1"/>
        <v>20.731792622181832</v>
      </c>
      <c r="H25" s="4">
        <v>2046</v>
      </c>
      <c r="I25" s="5">
        <v>2.8000000000000001E-2</v>
      </c>
      <c r="J25" s="6">
        <f t="shared" si="2"/>
        <v>1090.256615863578</v>
      </c>
      <c r="K25" s="6">
        <f t="shared" si="7"/>
        <v>38937.736280842073</v>
      </c>
      <c r="L25" s="8">
        <f t="shared" si="3"/>
        <v>38.937736280842074</v>
      </c>
      <c r="O25" s="4">
        <v>2046</v>
      </c>
      <c r="P25" s="5">
        <v>1.2999999999999999E-2</v>
      </c>
      <c r="Q25" s="6">
        <f t="shared" si="4"/>
        <v>593.52527954918935</v>
      </c>
      <c r="R25" s="6">
        <f t="shared" si="8"/>
        <v>45655.790734553033</v>
      </c>
      <c r="S25" s="8">
        <f t="shared" si="5"/>
        <v>45.65579073455303</v>
      </c>
    </row>
    <row r="26" spans="1:19" x14ac:dyDescent="0.35">
      <c r="A26" s="4">
        <v>2047</v>
      </c>
      <c r="B26" s="5">
        <v>6.2E-2</v>
      </c>
      <c r="C26" s="6">
        <f t="shared" si="0"/>
        <v>1368.9202668426663</v>
      </c>
      <c r="D26" s="6">
        <f t="shared" si="6"/>
        <v>22079.359142623649</v>
      </c>
      <c r="E26" s="8">
        <f t="shared" si="1"/>
        <v>22.079359142623648</v>
      </c>
      <c r="H26" s="4">
        <v>2047</v>
      </c>
      <c r="I26" s="5">
        <v>2.5999999999999999E-2</v>
      </c>
      <c r="J26" s="6">
        <f t="shared" si="2"/>
        <v>1040.7278153143468</v>
      </c>
      <c r="K26" s="6">
        <f t="shared" si="7"/>
        <v>40027.992896705648</v>
      </c>
      <c r="L26" s="8">
        <f t="shared" si="3"/>
        <v>40.027992896705648</v>
      </c>
      <c r="O26" s="4">
        <v>2047</v>
      </c>
      <c r="P26" s="5">
        <v>1.2E-2</v>
      </c>
      <c r="Q26" s="6">
        <f t="shared" si="4"/>
        <v>554.99179216922664</v>
      </c>
      <c r="R26" s="6">
        <f t="shared" si="8"/>
        <v>46249.316014102224</v>
      </c>
      <c r="S26" s="8">
        <f t="shared" si="5"/>
        <v>46.24931601410222</v>
      </c>
    </row>
  </sheetData>
  <mergeCells count="3">
    <mergeCell ref="A3:E3"/>
    <mergeCell ref="H3:L3"/>
    <mergeCell ref="O3:S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mayank tiwari</cp:lastModifiedBy>
  <cp:revision>1</cp:revision>
  <dcterms:created xsi:type="dcterms:W3CDTF">2026-09-08T10:41:19Z</dcterms:created>
  <dcterms:modified xsi:type="dcterms:W3CDTF">2026-09-10T11:10:26Z</dcterms:modified>
  <dc:language>en-US</dc:language>
</cp:coreProperties>
</file>